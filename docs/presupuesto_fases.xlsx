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Escenarios" sheetId="2" state="visible" r:id="rId4"/>
    <sheet name="Pricing clien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3" authorId="0">
      <text>
        <r>
          <rPr>
            <sz val="10"/>
            <rFont val="Arial"/>
            <family val="2"/>
          </rPr>
          <t xml:space="preserve">Fase: ir subiendo volúmenes en esta fila para ver impacto en coste.</t>
        </r>
      </text>
    </comment>
  </commentList>
</comments>
</file>

<file path=xl/sharedStrings.xml><?xml version="1.0" encoding="utf-8"?>
<sst xmlns="http://schemas.openxmlformats.org/spreadsheetml/2006/main" count="104" uniqueCount="86">
  <si>
    <t xml:space="preserve">Supuestos del modelo (editables en azul)</t>
  </si>
  <si>
    <t xml:space="preserve">Categoría</t>
  </si>
  <si>
    <t xml:space="preserve">Concepto</t>
  </si>
  <si>
    <t xml:space="preserve">Valor</t>
  </si>
  <si>
    <t xml:space="preserve">Unidad</t>
  </si>
  <si>
    <t xml:space="preserve">WhatsApp</t>
  </si>
  <si>
    <t xml:space="preserve">Coste conversación servicio (iniciada por usuario)</t>
  </si>
  <si>
    <t xml:space="preserve">€/msg</t>
  </si>
  <si>
    <t xml:space="preserve">Coste conversación marketing (saliente España)</t>
  </si>
  <si>
    <t xml:space="preserve">Alta número Twilio (opcional)</t>
  </si>
  <si>
    <t xml:space="preserve">€/mes</t>
  </si>
  <si>
    <t xml:space="preserve">LLM</t>
  </si>
  <si>
    <t xml:space="preserve">Coste gpt-4o-mini por 1.000 mensajes (≈500 tokens)</t>
  </si>
  <si>
    <t xml:space="preserve">€/1.000 msg</t>
  </si>
  <si>
    <t xml:space="preserve">Whisper (STT)</t>
  </si>
  <si>
    <t xml:space="preserve">Coste por minuto transcripción</t>
  </si>
  <si>
    <t xml:space="preserve">€/min audio</t>
  </si>
  <si>
    <t xml:space="preserve">ElevenLabs TTS</t>
  </si>
  <si>
    <t xml:space="preserve">Coste por minuto audio generado (nota voz)</t>
  </si>
  <si>
    <t xml:space="preserve">€/min</t>
  </si>
  <si>
    <t xml:space="preserve">ElevenLabs Agent</t>
  </si>
  <si>
    <t xml:space="preserve">Coste agente conversacional por minuto</t>
  </si>
  <si>
    <t xml:space="preserve">Twilio Voice</t>
  </si>
  <si>
    <t xml:space="preserve">Llamada entrante número local España</t>
  </si>
  <si>
    <t xml:space="preserve">Google Calendar API</t>
  </si>
  <si>
    <t xml:space="preserve">Dentro de cuota gratuita</t>
  </si>
  <si>
    <t xml:space="preserve">Hosting Railway</t>
  </si>
  <si>
    <t xml:space="preserve">Plan gratis hasta X horas → Hobby</t>
  </si>
  <si>
    <t xml:space="preserve">Sentry (errores)</t>
  </si>
  <si>
    <t xml:space="preserve">Plan gratis</t>
  </si>
  <si>
    <t xml:space="preserve">Dominio (opcional)</t>
  </si>
  <si>
    <t xml:space="preserve">.es anual prorrateado</t>
  </si>
  <si>
    <t xml:space="preserve">Fuente precios: investigación web 21-abr-2026 (ElevenLabs, Twilio, Meta). Revisar trimestralmente.</t>
  </si>
  <si>
    <t xml:space="preserve">Escenarios de coste mensual por fase del proyecto</t>
  </si>
  <si>
    <t xml:space="preserve">Fase 1 MVP</t>
  </si>
  <si>
    <t xml:space="preserve">Fase 2 Voz asinc.</t>
  </si>
  <si>
    <t xml:space="preserve">Fase 3 Llamada</t>
  </si>
  <si>
    <t xml:space="preserve">Fase 4 Piloto real</t>
  </si>
  <si>
    <t xml:space="preserve">Fase 5 (10 clientes)</t>
  </si>
  <si>
    <t xml:space="preserve">Notas</t>
  </si>
  <si>
    <t xml:space="preserve">Mensajes entrantes/mes</t>
  </si>
  <si>
    <t xml:space="preserve">Ajustable</t>
  </si>
  <si>
    <t xml:space="preserve">Notas de voz in/mes (2 min cada)</t>
  </si>
  <si>
    <t xml:space="preserve">Minutos llamada voz/mes</t>
  </si>
  <si>
    <t xml:space="preserve">Mensajes salientes marketing/mes</t>
  </si>
  <si>
    <t xml:space="preserve">Costes derivados</t>
  </si>
  <si>
    <t xml:space="preserve">LLM (texto)</t>
  </si>
  <si>
    <t xml:space="preserve">Whisper (transcripción notas voz)</t>
  </si>
  <si>
    <t xml:space="preserve">ElevenLabs TTS (respuestas voz async)</t>
  </si>
  <si>
    <t xml:space="preserve">ElevenLabs Conversational Agent</t>
  </si>
  <si>
    <t xml:space="preserve">Twilio Voice (minutos)</t>
  </si>
  <si>
    <t xml:space="preserve">Twilio número alta</t>
  </si>
  <si>
    <t xml:space="preserve">WhatsApp marketing (salientes)</t>
  </si>
  <si>
    <t xml:space="preserve">Hosting (Railway)</t>
  </si>
  <si>
    <t xml:space="preserve">Dominio</t>
  </si>
  <si>
    <t xml:space="preserve">TOTAL €/mes</t>
  </si>
  <si>
    <t xml:space="preserve">TOTAL anualizado</t>
  </si>
  <si>
    <t xml:space="preserve">Coste por mensaje (€)</t>
  </si>
  <si>
    <t xml:space="preserve">Leyenda de colores:</t>
  </si>
  <si>
    <t xml:space="preserve">  • Azul = input (editable)</t>
  </si>
  <si>
    <t xml:space="preserve">  • Negro = fórmula calculada</t>
  </si>
  <si>
    <t xml:space="preserve">  • Verde = enlace a otra hoja</t>
  </si>
  <si>
    <t xml:space="preserve">Propuesta de precios para clientes (negocios finales)</t>
  </si>
  <si>
    <t xml:space="preserve">Plan</t>
  </si>
  <si>
    <t xml:space="preserve">Incluye</t>
  </si>
  <si>
    <t xml:space="preserve">Precio €/mes</t>
  </si>
  <si>
    <t xml:space="preserve">Margen estimado</t>
  </si>
  <si>
    <t xml:space="preserve">Público</t>
  </si>
  <si>
    <t xml:space="preserve">Starter (texto)</t>
  </si>
  <si>
    <t xml:space="preserve">WhatsApp texto + Calendar + 1.500 msg</t>
  </si>
  <si>
    <t xml:space="preserve">Peluquerías solas</t>
  </si>
  <si>
    <t xml:space="preserve">Pro (voz asíncrona)</t>
  </si>
  <si>
    <t xml:space="preserve">Texto + notas de voz + 1.500 msg + 100 min TTS</t>
  </si>
  <si>
    <t xml:space="preserve">Peluquerías activas, estudios</t>
  </si>
  <si>
    <t xml:space="preserve">Premium (llamada)</t>
  </si>
  <si>
    <t xml:space="preserve">Todo Pro + número con IA + 200 min llamada</t>
  </si>
  <si>
    <t xml:space="preserve">Hoteles, clínicas</t>
  </si>
  <si>
    <t xml:space="preserve">Enterprise</t>
  </si>
  <si>
    <t xml:space="preserve">Multi-local, PMS, custom integrations</t>
  </si>
  <si>
    <t xml:space="preserve">Cadenas, grupos hoteleros</t>
  </si>
  <si>
    <t xml:space="preserve">Proyección ingresos (editar número de clientes)</t>
  </si>
  <si>
    <t xml:space="preserve">Clientes</t>
  </si>
  <si>
    <t xml:space="preserve">Ingreso/mes</t>
  </si>
  <si>
    <t xml:space="preserve">Margen bruto/mes</t>
  </si>
  <si>
    <t xml:space="preserve">Margen anual</t>
  </si>
  <si>
    <t xml:space="preserve">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</si>
</sst>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&quot; €&quot;"/>
    <numFmt numFmtId="166" formatCode="#,##0.00&quot; €&quot;"/>
    <numFmt numFmtId="167" formatCode="#,##0"/>
    <numFmt numFmtId="168" formatCode="#,##0.00&quot; €&quot;;[RED]\(#,##0.00&quot; €)&quot;;\-"/>
    <numFmt numFmtId="169" formatCode="#,##0&quot; €&quot;;[RED]\(#,##0&quot; €)&quot;;\-"/>
    <numFmt numFmtId="170" formatCode="#,##0&quot; €&quot;"/>
    <numFmt numFmtId="171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F9F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6E8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5F9FC"/>
      <rgbColor rgb="FFD6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4" t="n">
        <v>0</v>
      </c>
      <c r="D4" s="3" t="s">
        <v>7</v>
      </c>
    </row>
    <row r="5" customFormat="false" ht="15" hidden="false" customHeight="false" outlineLevel="0" collapsed="false">
      <c r="A5" s="5" t="s">
        <v>5</v>
      </c>
      <c r="B5" s="5" t="s">
        <v>8</v>
      </c>
      <c r="C5" s="4" t="n">
        <v>0.035</v>
      </c>
      <c r="D5" s="5" t="s">
        <v>7</v>
      </c>
    </row>
    <row r="6" customFormat="false" ht="15" hidden="false" customHeight="false" outlineLevel="0" collapsed="false">
      <c r="A6" s="3" t="s">
        <v>5</v>
      </c>
      <c r="B6" s="3" t="s">
        <v>9</v>
      </c>
      <c r="C6" s="6" t="n">
        <v>1</v>
      </c>
      <c r="D6" s="3" t="s">
        <v>10</v>
      </c>
    </row>
    <row r="7" customFormat="false" ht="15" hidden="false" customHeight="false" outlineLevel="0" collapsed="false">
      <c r="A7" s="5" t="s">
        <v>11</v>
      </c>
      <c r="B7" s="5" t="s">
        <v>12</v>
      </c>
      <c r="C7" s="4" t="n">
        <v>0.15</v>
      </c>
      <c r="D7" s="5" t="s">
        <v>13</v>
      </c>
    </row>
    <row r="8" customFormat="false" ht="15" hidden="false" customHeight="false" outlineLevel="0" collapsed="false">
      <c r="A8" s="3" t="s">
        <v>14</v>
      </c>
      <c r="B8" s="3" t="s">
        <v>15</v>
      </c>
      <c r="C8" s="4" t="n">
        <v>0.006</v>
      </c>
      <c r="D8" s="3" t="s">
        <v>16</v>
      </c>
    </row>
    <row r="9" customFormat="false" ht="15" hidden="false" customHeight="false" outlineLevel="0" collapsed="false">
      <c r="A9" s="5" t="s">
        <v>17</v>
      </c>
      <c r="B9" s="5" t="s">
        <v>18</v>
      </c>
      <c r="C9" s="4" t="n">
        <v>0.075</v>
      </c>
      <c r="D9" s="5" t="s">
        <v>19</v>
      </c>
    </row>
    <row r="10" customFormat="false" ht="15" hidden="false" customHeight="false" outlineLevel="0" collapsed="false">
      <c r="A10" s="3" t="s">
        <v>20</v>
      </c>
      <c r="B10" s="3" t="s">
        <v>21</v>
      </c>
      <c r="C10" s="4" t="n">
        <v>0.085</v>
      </c>
      <c r="D10" s="3" t="s">
        <v>19</v>
      </c>
    </row>
    <row r="11" customFormat="false" ht="15" hidden="false" customHeight="false" outlineLevel="0" collapsed="false">
      <c r="A11" s="5" t="s">
        <v>22</v>
      </c>
      <c r="B11" s="5" t="s">
        <v>23</v>
      </c>
      <c r="C11" s="4" t="n">
        <v>0.013</v>
      </c>
      <c r="D11" s="5" t="s">
        <v>19</v>
      </c>
    </row>
    <row r="12" customFormat="false" ht="15" hidden="false" customHeight="false" outlineLevel="0" collapsed="false">
      <c r="A12" s="3" t="s">
        <v>24</v>
      </c>
      <c r="B12" s="3" t="s">
        <v>25</v>
      </c>
      <c r="C12" s="4" t="n">
        <v>0</v>
      </c>
      <c r="D12" s="3" t="s">
        <v>10</v>
      </c>
    </row>
    <row r="13" customFormat="false" ht="15" hidden="false" customHeight="false" outlineLevel="0" collapsed="false">
      <c r="A13" s="5" t="s">
        <v>26</v>
      </c>
      <c r="B13" s="5" t="s">
        <v>27</v>
      </c>
      <c r="C13" s="6" t="n">
        <v>5</v>
      </c>
      <c r="D13" s="5" t="s">
        <v>10</v>
      </c>
    </row>
    <row r="14" customFormat="false" ht="15" hidden="false" customHeight="false" outlineLevel="0" collapsed="false">
      <c r="A14" s="3" t="s">
        <v>28</v>
      </c>
      <c r="B14" s="3" t="s">
        <v>29</v>
      </c>
      <c r="C14" s="4" t="n">
        <v>0</v>
      </c>
      <c r="D14" s="3" t="s">
        <v>10</v>
      </c>
    </row>
    <row r="15" customFormat="false" ht="15" hidden="false" customHeight="false" outlineLevel="0" collapsed="false">
      <c r="A15" s="5" t="s">
        <v>30</v>
      </c>
      <c r="B15" s="5" t="s">
        <v>31</v>
      </c>
      <c r="C15" s="4" t="n">
        <v>0.8</v>
      </c>
      <c r="D15" s="5" t="s">
        <v>10</v>
      </c>
    </row>
    <row r="18" customFormat="false" ht="15" hidden="false" customHeight="false" outlineLevel="0" collapsed="false">
      <c r="A18" s="7" t="s">
        <v>32</v>
      </c>
      <c r="B18" s="7"/>
      <c r="C18" s="7"/>
      <c r="D18" s="7"/>
    </row>
  </sheetData>
  <mergeCells count="2">
    <mergeCell ref="A1:D1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5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8" t="s">
        <v>2</v>
      </c>
      <c r="B3" s="8" t="s">
        <v>34</v>
      </c>
      <c r="C3" s="8" t="s">
        <v>35</v>
      </c>
      <c r="D3" s="8" t="s">
        <v>36</v>
      </c>
      <c r="E3" s="8" t="s">
        <v>37</v>
      </c>
      <c r="F3" s="8" t="s">
        <v>38</v>
      </c>
      <c r="G3" s="8" t="s">
        <v>39</v>
      </c>
    </row>
    <row r="4" customFormat="false" ht="15" hidden="false" customHeight="false" outlineLevel="0" collapsed="false">
      <c r="A4" s="9" t="s">
        <v>40</v>
      </c>
      <c r="B4" s="10" t="n">
        <v>50</v>
      </c>
      <c r="C4" s="10" t="n">
        <v>200</v>
      </c>
      <c r="D4" s="10" t="n">
        <v>400</v>
      </c>
      <c r="E4" s="10" t="n">
        <v>1500</v>
      </c>
      <c r="F4" s="10" t="n">
        <v>15000</v>
      </c>
      <c r="G4" s="11" t="s">
        <v>41</v>
      </c>
    </row>
    <row r="5" customFormat="false" ht="15" hidden="false" customHeight="false" outlineLevel="0" collapsed="false">
      <c r="A5" s="9" t="s">
        <v>42</v>
      </c>
      <c r="B5" s="10" t="n">
        <v>0</v>
      </c>
      <c r="C5" s="10" t="n">
        <v>40</v>
      </c>
      <c r="D5" s="10" t="n">
        <v>60</v>
      </c>
      <c r="E5" s="10" t="n">
        <v>150</v>
      </c>
      <c r="F5" s="10" t="n">
        <v>1500</v>
      </c>
      <c r="G5" s="11" t="s">
        <v>41</v>
      </c>
    </row>
    <row r="6" customFormat="false" ht="15" hidden="false" customHeight="false" outlineLevel="0" collapsed="false">
      <c r="A6" s="9" t="s">
        <v>43</v>
      </c>
      <c r="B6" s="10" t="n">
        <v>0</v>
      </c>
      <c r="C6" s="10" t="n">
        <v>0</v>
      </c>
      <c r="D6" s="10" t="n">
        <v>30</v>
      </c>
      <c r="E6" s="10" t="n">
        <v>120</v>
      </c>
      <c r="F6" s="10" t="n">
        <v>1500</v>
      </c>
      <c r="G6" s="11" t="s">
        <v>41</v>
      </c>
    </row>
    <row r="7" customFormat="false" ht="15" hidden="false" customHeight="false" outlineLevel="0" collapsed="false">
      <c r="A7" s="9" t="s">
        <v>44</v>
      </c>
      <c r="B7" s="10" t="n">
        <v>0</v>
      </c>
      <c r="C7" s="10" t="n">
        <v>0</v>
      </c>
      <c r="D7" s="10" t="n">
        <v>0</v>
      </c>
      <c r="E7" s="10" t="n">
        <v>50</v>
      </c>
      <c r="F7" s="10" t="n">
        <v>800</v>
      </c>
      <c r="G7" s="11" t="s">
        <v>41</v>
      </c>
    </row>
    <row r="9" customFormat="false" ht="15" hidden="false" customHeight="false" outlineLevel="0" collapsed="false">
      <c r="A9" s="12" t="s">
        <v>45</v>
      </c>
    </row>
    <row r="10" customFormat="false" ht="15" hidden="false" customHeight="false" outlineLevel="0" collapsed="false">
      <c r="A10" s="5" t="s">
        <v>46</v>
      </c>
      <c r="B10" s="13" t="n">
        <f aca="false">(B4/1000)*Supuestos!$C$7</f>
        <v>0.0075</v>
      </c>
      <c r="C10" s="13" t="n">
        <f aca="false">(C4/1000)*Supuestos!$C$7</f>
        <v>0.03</v>
      </c>
      <c r="D10" s="13" t="n">
        <f aca="false">(D4/1000)*Supuestos!$C$7</f>
        <v>0.06</v>
      </c>
      <c r="E10" s="13" t="n">
        <f aca="false">(E4/1000)*Supuestos!$C$7</f>
        <v>0.225</v>
      </c>
      <c r="F10" s="13" t="n">
        <f aca="false">(F4/1000)*Supuestos!$C$7</f>
        <v>2.25</v>
      </c>
      <c r="G10" s="14"/>
    </row>
    <row r="11" customFormat="false" ht="15" hidden="false" customHeight="false" outlineLevel="0" collapsed="false">
      <c r="A11" s="5" t="s">
        <v>47</v>
      </c>
      <c r="B11" s="13" t="n">
        <f aca="false">B5*2*Supuestos!$C$8</f>
        <v>0</v>
      </c>
      <c r="C11" s="13" t="n">
        <f aca="false">C5*2*Supuestos!$C$8</f>
        <v>0.48</v>
      </c>
      <c r="D11" s="13" t="n">
        <f aca="false">D5*2*Supuestos!$C$8</f>
        <v>0.72</v>
      </c>
      <c r="E11" s="13" t="n">
        <f aca="false">E5*2*Supuestos!$C$8</f>
        <v>1.8</v>
      </c>
      <c r="F11" s="13" t="n">
        <f aca="false">F5*2*Supuestos!$C$8</f>
        <v>18</v>
      </c>
      <c r="G11" s="14"/>
    </row>
    <row r="12" customFormat="false" ht="15" hidden="false" customHeight="false" outlineLevel="0" collapsed="false">
      <c r="A12" s="5" t="s">
        <v>48</v>
      </c>
      <c r="B12" s="13" t="n">
        <f aca="false">B5*0.5*Supuestos!$C$9</f>
        <v>0</v>
      </c>
      <c r="C12" s="13" t="n">
        <f aca="false">C5*0.5*Supuestos!$C$9</f>
        <v>1.5</v>
      </c>
      <c r="D12" s="13" t="n">
        <f aca="false">D5*0.5*Supuestos!$C$9</f>
        <v>2.25</v>
      </c>
      <c r="E12" s="13" t="n">
        <f aca="false">E5*0.5*Supuestos!$C$9</f>
        <v>5.625</v>
      </c>
      <c r="F12" s="13" t="n">
        <f aca="false">F5*0.5*Supuestos!$C$9</f>
        <v>56.25</v>
      </c>
      <c r="G12" s="14"/>
    </row>
    <row r="13" customFormat="false" ht="15" hidden="false" customHeight="false" outlineLevel="0" collapsed="false">
      <c r="A13" s="5" t="s">
        <v>49</v>
      </c>
      <c r="B13" s="13" t="n">
        <f aca="false">B6*Supuestos!$C$10</f>
        <v>0</v>
      </c>
      <c r="C13" s="13" t="n">
        <f aca="false">C6*Supuestos!$C$10</f>
        <v>0</v>
      </c>
      <c r="D13" s="13" t="n">
        <f aca="false">D6*Supuestos!$C$10</f>
        <v>2.55</v>
      </c>
      <c r="E13" s="13" t="n">
        <f aca="false">E6*Supuestos!$C$10</f>
        <v>10.2</v>
      </c>
      <c r="F13" s="13" t="n">
        <f aca="false">F6*Supuestos!$C$10</f>
        <v>127.5</v>
      </c>
      <c r="G13" s="14"/>
    </row>
    <row r="14" customFormat="false" ht="15" hidden="false" customHeight="false" outlineLevel="0" collapsed="false">
      <c r="A14" s="5" t="s">
        <v>50</v>
      </c>
      <c r="B14" s="13" t="n">
        <f aca="false">B6*Supuestos!$C$11</f>
        <v>0</v>
      </c>
      <c r="C14" s="13" t="n">
        <f aca="false">C6*Supuestos!$C$11</f>
        <v>0</v>
      </c>
      <c r="D14" s="13" t="n">
        <f aca="false">D6*Supuestos!$C$11</f>
        <v>0.39</v>
      </c>
      <c r="E14" s="13" t="n">
        <f aca="false">E6*Supuestos!$C$11</f>
        <v>1.56</v>
      </c>
      <c r="F14" s="13" t="n">
        <f aca="false">F6*Supuestos!$C$11</f>
        <v>19.5</v>
      </c>
      <c r="G14" s="14"/>
    </row>
    <row r="15" customFormat="false" ht="15" hidden="false" customHeight="false" outlineLevel="0" collapsed="false">
      <c r="A15" s="5" t="s">
        <v>51</v>
      </c>
      <c r="B15" s="13" t="n">
        <f aca="false">IF(B6&gt;0,Supuestos!$C$6,0)</f>
        <v>0</v>
      </c>
      <c r="C15" s="13" t="n">
        <f aca="false">IF(C6&gt;0,Supuestos!$C$6,0)</f>
        <v>0</v>
      </c>
      <c r="D15" s="13" t="n">
        <f aca="false">IF(D6&gt;0,Supuestos!$C$6,0)</f>
        <v>1</v>
      </c>
      <c r="E15" s="13" t="n">
        <f aca="false">IF(E6&gt;0,Supuestos!$C$6,0)</f>
        <v>1</v>
      </c>
      <c r="F15" s="13" t="n">
        <f aca="false">IF(F6&gt;0,Supuestos!$C$6,0)</f>
        <v>1</v>
      </c>
      <c r="G15" s="14"/>
    </row>
    <row r="16" customFormat="false" ht="15" hidden="false" customHeight="false" outlineLevel="0" collapsed="false">
      <c r="A16" s="5" t="s">
        <v>52</v>
      </c>
      <c r="B16" s="13" t="n">
        <f aca="false">B7*Supuestos!$C$5</f>
        <v>0</v>
      </c>
      <c r="C16" s="13" t="n">
        <f aca="false">C7*Supuestos!$C$5</f>
        <v>0</v>
      </c>
      <c r="D16" s="13" t="n">
        <f aca="false">D7*Supuestos!$C$5</f>
        <v>0</v>
      </c>
      <c r="E16" s="13" t="n">
        <f aca="false">E7*Supuestos!$C$5</f>
        <v>1.75</v>
      </c>
      <c r="F16" s="13" t="n">
        <f aca="false">F7*Supuestos!$C$5</f>
        <v>28</v>
      </c>
      <c r="G16" s="14"/>
    </row>
    <row r="17" customFormat="false" ht="15" hidden="false" customHeight="false" outlineLevel="0" collapsed="false">
      <c r="A17" s="5" t="s">
        <v>53</v>
      </c>
      <c r="B17" s="13" t="n">
        <f aca="false">IF(B6&gt;0,Supuestos!$C$13,0)</f>
        <v>0</v>
      </c>
      <c r="C17" s="13" t="n">
        <f aca="false">IF(C6&gt;0,Supuestos!$C$13,0)</f>
        <v>0</v>
      </c>
      <c r="D17" s="13" t="n">
        <f aca="false">IF(D6&gt;0,Supuestos!$C$13,0)</f>
        <v>5</v>
      </c>
      <c r="E17" s="13" t="n">
        <f aca="false">IF(E6&gt;0,Supuestos!$C$13,0)</f>
        <v>5</v>
      </c>
      <c r="F17" s="13" t="n">
        <f aca="false">IF(F6&gt;0,Supuestos!$C$13,0)</f>
        <v>5</v>
      </c>
      <c r="G17" s="14"/>
    </row>
    <row r="18" customFormat="false" ht="15" hidden="false" customHeight="false" outlineLevel="0" collapsed="false">
      <c r="A18" s="5" t="s">
        <v>54</v>
      </c>
      <c r="B18" s="13" t="n">
        <f aca="false">IF(B7&gt;0,Supuestos!$C$15,0)</f>
        <v>0</v>
      </c>
      <c r="C18" s="13" t="n">
        <f aca="false">IF(C7&gt;0,Supuestos!$C$15,0)</f>
        <v>0</v>
      </c>
      <c r="D18" s="13" t="n">
        <f aca="false">IF(D7&gt;0,Supuestos!$C$15,0)</f>
        <v>0</v>
      </c>
      <c r="E18" s="13" t="n">
        <f aca="false">IF(E7&gt;0,Supuestos!$C$15,0)</f>
        <v>0.8</v>
      </c>
      <c r="F18" s="13" t="n">
        <f aca="false">IF(F7&gt;0,Supuestos!$C$15,0)</f>
        <v>0.8</v>
      </c>
      <c r="G18" s="14"/>
    </row>
    <row r="19" customFormat="false" ht="15" hidden="false" customHeight="false" outlineLevel="0" collapsed="false">
      <c r="A19" s="15" t="s">
        <v>55</v>
      </c>
      <c r="B19" s="16" t="n">
        <f aca="false">SUM(B10:B18)</f>
        <v>0.0075</v>
      </c>
      <c r="C19" s="16" t="n">
        <f aca="false">SUM(C10:C18)</f>
        <v>2.01</v>
      </c>
      <c r="D19" s="16" t="n">
        <f aca="false">SUM(D10:D18)</f>
        <v>11.97</v>
      </c>
      <c r="E19" s="16" t="n">
        <f aca="false">SUM(E10:E18)</f>
        <v>27.96</v>
      </c>
      <c r="F19" s="16" t="n">
        <f aca="false">SUM(F10:F18)</f>
        <v>258.3</v>
      </c>
      <c r="G19" s="14"/>
    </row>
    <row r="21" customFormat="false" ht="15" hidden="false" customHeight="false" outlineLevel="0" collapsed="false">
      <c r="A21" s="9" t="s">
        <v>56</v>
      </c>
      <c r="B21" s="17" t="n">
        <f aca="false">B19*12</f>
        <v>0.09</v>
      </c>
      <c r="C21" s="17" t="n">
        <f aca="false">C19*12</f>
        <v>24.12</v>
      </c>
      <c r="D21" s="17" t="n">
        <f aca="false">D19*12</f>
        <v>143.64</v>
      </c>
      <c r="E21" s="17" t="n">
        <f aca="false">E19*12</f>
        <v>335.52</v>
      </c>
      <c r="F21" s="17" t="n">
        <f aca="false">F19*12</f>
        <v>3099.6</v>
      </c>
      <c r="G21" s="14"/>
    </row>
    <row r="23" customFormat="false" ht="15" hidden="false" customHeight="false" outlineLevel="0" collapsed="false">
      <c r="A23" s="18" t="s">
        <v>57</v>
      </c>
      <c r="B23" s="19" t="n">
        <f aca="false">IFERROR(B19/B4,0)</f>
        <v>0.00015</v>
      </c>
      <c r="C23" s="19" t="n">
        <f aca="false">IFERROR(C19/C4,0)</f>
        <v>0.01005</v>
      </c>
      <c r="D23" s="19" t="n">
        <f aca="false">IFERROR(D19/D4,0)</f>
        <v>0.029925</v>
      </c>
      <c r="E23" s="19" t="n">
        <f aca="false">IFERROR(E19/E4,0)</f>
        <v>0.01864</v>
      </c>
      <c r="F23" s="19" t="n">
        <f aca="false">IFERROR(F19/F4,0)</f>
        <v>0.01722</v>
      </c>
      <c r="G23" s="14"/>
    </row>
    <row r="26" customFormat="false" ht="15" hidden="false" customHeight="false" outlineLevel="0" collapsed="false">
      <c r="A26" s="20" t="s">
        <v>58</v>
      </c>
    </row>
    <row r="27" customFormat="false" ht="15" hidden="false" customHeight="false" outlineLevel="0" collapsed="false">
      <c r="A27" s="21" t="s">
        <v>59</v>
      </c>
    </row>
    <row r="28" customFormat="false" ht="15" hidden="false" customHeight="false" outlineLevel="0" collapsed="false">
      <c r="A28" s="22" t="s">
        <v>60</v>
      </c>
    </row>
    <row r="29" customFormat="false" ht="15" hidden="false" customHeight="false" outlineLevel="0" collapsed="false">
      <c r="A29" s="23" t="s">
        <v>61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62</v>
      </c>
      <c r="B1" s="1"/>
      <c r="C1" s="1"/>
      <c r="D1" s="1"/>
      <c r="E1" s="1"/>
    </row>
    <row r="3" customFormat="false" ht="15" hidden="false" customHeight="false" outlineLevel="0" collapsed="false">
      <c r="A3" s="8" t="s">
        <v>63</v>
      </c>
      <c r="B3" s="8" t="s">
        <v>64</v>
      </c>
      <c r="C3" s="8" t="s">
        <v>65</v>
      </c>
      <c r="D3" s="8" t="s">
        <v>66</v>
      </c>
      <c r="E3" s="8" t="s">
        <v>67</v>
      </c>
    </row>
    <row r="4" customFormat="false" ht="15" hidden="false" customHeight="false" outlineLevel="0" collapsed="false">
      <c r="A4" s="24" t="s">
        <v>68</v>
      </c>
      <c r="B4" s="3" t="s">
        <v>69</v>
      </c>
      <c r="C4" s="25" t="n">
        <v>39</v>
      </c>
      <c r="D4" s="26" t="n">
        <v>0.8</v>
      </c>
      <c r="E4" s="3" t="s">
        <v>70</v>
      </c>
    </row>
    <row r="5" customFormat="false" ht="15" hidden="false" customHeight="false" outlineLevel="0" collapsed="false">
      <c r="A5" s="9" t="s">
        <v>71</v>
      </c>
      <c r="B5" s="5" t="s">
        <v>72</v>
      </c>
      <c r="C5" s="25" t="n">
        <v>79</v>
      </c>
      <c r="D5" s="26" t="n">
        <v>0.75</v>
      </c>
      <c r="E5" s="5" t="s">
        <v>73</v>
      </c>
    </row>
    <row r="6" customFormat="false" ht="15" hidden="false" customHeight="false" outlineLevel="0" collapsed="false">
      <c r="A6" s="24" t="s">
        <v>74</v>
      </c>
      <c r="B6" s="3" t="s">
        <v>75</v>
      </c>
      <c r="C6" s="25" t="n">
        <v>149</v>
      </c>
      <c r="D6" s="26" t="n">
        <v>0.65</v>
      </c>
      <c r="E6" s="3" t="s">
        <v>76</v>
      </c>
    </row>
    <row r="7" customFormat="false" ht="15" hidden="false" customHeight="false" outlineLevel="0" collapsed="false">
      <c r="A7" s="9" t="s">
        <v>77</v>
      </c>
      <c r="B7" s="5" t="s">
        <v>78</v>
      </c>
      <c r="C7" s="25" t="n">
        <v>349</v>
      </c>
      <c r="D7" s="26" t="n">
        <v>0.55</v>
      </c>
      <c r="E7" s="5" t="s">
        <v>79</v>
      </c>
    </row>
    <row r="10" customFormat="false" ht="15" hidden="false" customHeight="false" outlineLevel="0" collapsed="false">
      <c r="A10" s="27" t="s">
        <v>80</v>
      </c>
      <c r="B10" s="27"/>
      <c r="C10" s="27"/>
      <c r="D10" s="27"/>
      <c r="E10" s="27"/>
    </row>
    <row r="12" customFormat="false" ht="15" hidden="false" customHeight="false" outlineLevel="0" collapsed="false">
      <c r="A12" s="2" t="s">
        <v>63</v>
      </c>
      <c r="B12" s="2" t="s">
        <v>81</v>
      </c>
      <c r="C12" s="2" t="s">
        <v>82</v>
      </c>
      <c r="D12" s="2" t="s">
        <v>83</v>
      </c>
      <c r="E12" s="2" t="s">
        <v>84</v>
      </c>
    </row>
    <row r="13" customFormat="false" ht="15" hidden="false" customHeight="false" outlineLevel="0" collapsed="false">
      <c r="A13" s="5" t="s">
        <v>68</v>
      </c>
      <c r="B13" s="28" t="n">
        <v>2</v>
      </c>
      <c r="C13" s="29" t="n">
        <f aca="false">B13*C4</f>
        <v>78</v>
      </c>
      <c r="D13" s="29" t="n">
        <f aca="false">C13*D4</f>
        <v>62.4</v>
      </c>
      <c r="E13" s="29" t="n">
        <f aca="false">D13*12</f>
        <v>748.8</v>
      </c>
    </row>
    <row r="14" customFormat="false" ht="15" hidden="false" customHeight="false" outlineLevel="0" collapsed="false">
      <c r="A14" s="5" t="s">
        <v>71</v>
      </c>
      <c r="B14" s="28" t="n">
        <v>3</v>
      </c>
      <c r="C14" s="29" t="n">
        <f aca="false">B14*C5</f>
        <v>237</v>
      </c>
      <c r="D14" s="29" t="n">
        <f aca="false">C14*D5</f>
        <v>177.75</v>
      </c>
      <c r="E14" s="29" t="n">
        <f aca="false">D14*12</f>
        <v>2133</v>
      </c>
    </row>
    <row r="15" customFormat="false" ht="15" hidden="false" customHeight="false" outlineLevel="0" collapsed="false">
      <c r="A15" s="5" t="s">
        <v>74</v>
      </c>
      <c r="B15" s="28" t="n">
        <v>1</v>
      </c>
      <c r="C15" s="29" t="n">
        <f aca="false">B15*C6</f>
        <v>149</v>
      </c>
      <c r="D15" s="29" t="n">
        <f aca="false">C15*D6</f>
        <v>96.85</v>
      </c>
      <c r="E15" s="29" t="n">
        <f aca="false">D15*12</f>
        <v>1162.2</v>
      </c>
    </row>
    <row r="16" customFormat="false" ht="15" hidden="false" customHeight="false" outlineLevel="0" collapsed="false">
      <c r="A16" s="5" t="s">
        <v>77</v>
      </c>
      <c r="B16" s="28" t="n">
        <v>0</v>
      </c>
      <c r="C16" s="29" t="n">
        <f aca="false">B16*C7</f>
        <v>0</v>
      </c>
      <c r="D16" s="29" t="n">
        <f aca="false">C16*D7</f>
        <v>0</v>
      </c>
      <c r="E16" s="29" t="n">
        <f aca="false">D16*12</f>
        <v>0</v>
      </c>
    </row>
    <row r="17" customFormat="false" ht="15" hidden="false" customHeight="false" outlineLevel="0" collapsed="false">
      <c r="A17" s="30" t="s">
        <v>85</v>
      </c>
      <c r="B17" s="31" t="n">
        <f aca="false">SUM(B13:B16)</f>
        <v>6</v>
      </c>
      <c r="C17" s="32" t="n">
        <f aca="false">SUM(C13:C16)</f>
        <v>464</v>
      </c>
      <c r="D17" s="32" t="n">
        <f aca="false">SUM(D13:D16)</f>
        <v>337</v>
      </c>
      <c r="E17" s="32" t="n">
        <f aca="false">SUM(E13:E16)</f>
        <v>4044</v>
      </c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2026-04-21T16:39:37Z</dcterms:created>
  <dc:creator>openpyxl</dc:creator>
  <dc:description/>
  <dc:language>en-US</dc:language>
  <cp:lastModifiedBy/>
  <dcterms:modified xsi:type="dcterms:W3CDTF">2026-04-21T16:39:37Z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